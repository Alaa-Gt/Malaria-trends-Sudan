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portfolio projects\Sudanese disease trends\"/>
    </mc:Choice>
  </mc:AlternateContent>
  <xr:revisionPtr revIDLastSave="0" documentId="13_ncr:1_{5F096E83-A26B-46AF-844E-3BD9EE84D81E}" xr6:coauthVersionLast="47" xr6:coauthVersionMax="47" xr10:uidLastSave="{00000000-0000-0000-0000-000000000000}"/>
  <bookViews>
    <workbookView xWindow="-110" yWindow="-110" windowWidth="19420" windowHeight="10420" xr2:uid="{B36183C8-B9CE-4CB2-A4B6-D50B5A6F8AD5}"/>
  </bookViews>
  <sheets>
    <sheet name="Clean_data" sheetId="1" r:id="rId1"/>
    <sheet name="chart+Analysis" sheetId="2" r:id="rId2"/>
    <sheet name="Analysis_Summary+Period_Analysi" sheetId="3" r:id="rId3"/>
  </sheets>
  <definedNames>
    <definedName name="_xlnm._FilterDatabase" localSheetId="0" hidden="1">Clean_data!$A$1:$A$23</definedName>
  </definedNames>
  <calcPr calcId="191029"/>
</workbook>
</file>

<file path=xl/calcChain.xml><?xml version="1.0" encoding="utf-8"?>
<calcChain xmlns="http://schemas.openxmlformats.org/spreadsheetml/2006/main">
  <c r="B16" i="2" l="1"/>
  <c r="B15" i="2"/>
  <c r="B14" i="2"/>
</calcChain>
</file>

<file path=xl/sharedStrings.xml><?xml version="1.0" encoding="utf-8"?>
<sst xmlns="http://schemas.openxmlformats.org/spreadsheetml/2006/main" count="97" uniqueCount="75">
  <si>
    <t>measure_name</t>
  </si>
  <si>
    <t>year</t>
  </si>
  <si>
    <t>val</t>
  </si>
  <si>
    <t>Deaths</t>
  </si>
  <si>
    <t>DALYs (Disability-Adjusted Life Years)</t>
  </si>
  <si>
    <t>Rate per 100,000</t>
  </si>
  <si>
    <t>Average</t>
  </si>
  <si>
    <t>Maximum</t>
  </si>
  <si>
    <t>Minimum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</si>
  <si>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</si>
  <si>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</si>
  <si>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</si>
  <si>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</si>
  <si>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</si>
  <si>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</si>
  <si>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</si>
  <si>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</si>
  <si>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</si>
  <si>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</si>
  <si>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</si>
  <si>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</si>
  <si>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</si>
  <si>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</si>
  <si>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</si>
  <si>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</si>
  <si>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</si>
  <si>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</si>
  <si>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</si>
  <si>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</si>
  <si>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</si>
  <si>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</si>
  <si>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</si>
  <si>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</si>
  <si>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</si>
  <si>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Period</t>
  </si>
  <si>
    <t>Years</t>
  </si>
  <si>
    <t>Description</t>
  </si>
  <si>
    <t>Change</t>
  </si>
  <si>
    <t>Period 1</t>
  </si>
  <si>
    <t>2011–2016</t>
  </si>
  <si>
    <t>Rising</t>
  </si>
  <si>
    <t>Period 2</t>
  </si>
  <si>
    <t>2016–2018</t>
  </si>
  <si>
    <t>Declining</t>
  </si>
  <si>
    <t>−14.1%</t>
  </si>
  <si>
    <t>Period 3</t>
  </si>
  <si>
    <t>2019–2021</t>
  </si>
  <si>
    <t>Rising again</t>
  </si>
  <si>
    <t>Analysis Summary</t>
  </si>
  <si>
    <t>Statistic</t>
  </si>
  <si>
    <t>Value</t>
  </si>
  <si>
    <t>Note</t>
  </si>
  <si>
    <t>Mean Death Rate (2011–2021)</t>
  </si>
  <si>
    <t>Average per 100,000</t>
  </si>
  <si>
    <t>Min Death Rate</t>
  </si>
  <si>
    <t>6.22 (2012)</t>
  </si>
  <si>
    <t>Lowest</t>
  </si>
  <si>
    <t>Max Death Rate</t>
  </si>
  <si>
    <t>9.09 (2021)</t>
  </si>
  <si>
    <t>Highest</t>
  </si>
  <si>
    <t>% Change (2011→2021)</t>
  </si>
  <si>
    <t>Overall increase</t>
  </si>
  <si>
    <t>Linear Trend (slope/year)</t>
  </si>
  <si>
    <t>Increase per year</t>
  </si>
  <si>
    <t>R²</t>
  </si>
  <si>
    <t>Moderately strong upward trend</t>
  </si>
  <si>
    <t>CAGR</t>
  </si>
  <si>
    <t>Compound annual growth rate</t>
  </si>
  <si>
    <t>Significance (p-value)</t>
  </si>
  <si>
    <t>Statistically significant</t>
  </si>
  <si>
    <t>Period Analysis</t>
  </si>
  <si>
    <r>
      <t>R² (Coefficient of Determination)</t>
    </r>
    <r>
      <rPr>
        <sz val="11"/>
        <color theme="1"/>
        <rFont val="Calibri"/>
        <family val="2"/>
        <scheme val="minor"/>
      </rPr>
      <t xml:space="preserve"> → Measures how much of the variation in death rates is explained by time (≈69% = moderately strong).</t>
    </r>
  </si>
  <si>
    <r>
      <t>CAGR (Compound Annual Growth Rate)</t>
    </r>
    <r>
      <rPr>
        <sz val="11"/>
        <color theme="1"/>
        <rFont val="Calibri"/>
        <family val="2"/>
        <scheme val="minor"/>
      </rPr>
      <t xml:space="preserve"> → Represents the </t>
    </r>
    <r>
      <rPr>
        <i/>
        <sz val="11"/>
        <color theme="1"/>
        <rFont val="Calibri"/>
        <family val="2"/>
        <scheme val="minor"/>
      </rPr>
      <t>average yearly growth rate</t>
    </r>
    <r>
      <rPr>
        <sz val="11"/>
        <color theme="1"/>
        <rFont val="Calibri"/>
        <family val="2"/>
        <scheme val="minor"/>
      </rPr>
      <t xml:space="preserve"> over the entire decade, accounting for compounding.</t>
    </r>
  </si>
  <si>
    <r>
      <t>p-value</t>
    </r>
    <r>
      <rPr>
        <sz val="11"/>
        <color theme="1"/>
        <rFont val="Calibri"/>
        <family val="2"/>
        <scheme val="minor"/>
      </rPr>
      <t xml:space="preserve"> → Tests if the upward trend is statistically significant; since p = 0.0016 (&lt; 0.05), the result is </t>
    </r>
    <r>
      <rPr>
        <b/>
        <sz val="11"/>
        <color theme="1"/>
        <rFont val="Calibri"/>
        <family val="2"/>
        <scheme val="minor"/>
      </rPr>
      <t>statistically significant</t>
    </r>
    <r>
      <rPr>
        <sz val="11"/>
        <color theme="1"/>
        <rFont val="Calibri"/>
        <family val="2"/>
        <scheme val="minor"/>
      </rPr>
      <t>.</t>
    </r>
  </si>
  <si>
    <r>
      <rPr>
        <b/>
        <sz val="14"/>
        <color theme="1"/>
        <rFont val="Calibri"/>
        <family val="2"/>
        <scheme val="minor"/>
      </rPr>
      <t>Notes</t>
    </r>
    <r>
      <rPr>
        <b/>
        <sz val="11"/>
        <color theme="1"/>
        <rFont val="Calibri"/>
        <family val="2"/>
        <scheme val="minor"/>
      </rPr>
      <t xml:space="preserve">:  Linear Trend (Slope) </t>
    </r>
    <r>
      <rPr>
        <sz val="11"/>
        <color theme="1"/>
        <rFont val="Calibri"/>
        <family val="2"/>
        <scheme val="minor"/>
      </rPr>
      <t>→ Indicates the average annual change. Here, each year adds ≈ 0.28 deaths per 100,000.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</si>
</sst>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/>
    <xf numFmtId="0" fontId="18" fillId="0" borderId="11" xfId="0" applyFont="1" applyBorder="1" applyAlignment="1">
      <alignment horizontal="center"/>
    </xf>
    <xf numFmtId="0" fontId="18" fillId="0" borderId="11" xfId="0" applyFont="1" applyBorder="1" applyAlignment="1">
      <alignment horizontal="centerContinuous"/>
    </xf>
    <xf numFmtId="10" fontId="0" fillId="0" borderId="0" xfId="0" applyNumberFormat="1" applyAlignment="1">
      <alignment horizontal="left"/>
    </xf>
    <xf numFmtId="0" fontId="19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Malaria death Rate per 100,000</a:t>
            </a:r>
            <a:r>
              <a:rPr lang="en-US" baseline="0"/>
              <a:t> in Sudan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'chart+Analysis'!$B$1</c:f>
              <c:strCache>
                <c:ptCount val="1"/>
                <c:pt idx="0">
                  <c:v>Rate per 100,000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25997375328084"/>
                  <c:y val="0.485694444444444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'chart+Analysis'!$A$2:$A$12</c:f>
              <c:numCache>
                <c:formatCode>General</c:formatCode>
                <c:ptCount val="11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2016</c:v>
                </c:pt>
                <c:pt idx="5">
                  <c:v>2017</c:v>
                </c:pt>
                <c:pt idx="6">
                  <c:v>2015</c:v>
                </c:pt>
                <c:pt idx="7">
                  <c:v>2019</c:v>
                </c:pt>
                <c:pt idx="8">
                  <c:v>2021</c:v>
                </c:pt>
                <c:pt idx="9">
                  <c:v>2018</c:v>
                </c:pt>
                <c:pt idx="10">
                  <c:v>2020</c:v>
                </c:pt>
              </c:numCache>
            </c:numRef>
          </c:xVal>
          <c:yVal>
            <c:numRef>
              <c:f>'chart+Analysis'!$B$2:$B$12</c:f>
              <c:numCache>
                <c:formatCode>General</c:formatCode>
                <c:ptCount val="11"/>
                <c:pt idx="0">
                  <c:v>6.2253354835395998</c:v>
                </c:pt>
                <c:pt idx="1">
                  <c:v>6.2200540944379599</c:v>
                </c:pt>
                <c:pt idx="2">
                  <c:v>6.3537409334039401</c:v>
                </c:pt>
                <c:pt idx="3">
                  <c:v>6.9200614734221499</c:v>
                </c:pt>
                <c:pt idx="4">
                  <c:v>9.00360663637694</c:v>
                </c:pt>
                <c:pt idx="5">
                  <c:v>8.87827904649766</c:v>
                </c:pt>
                <c:pt idx="6">
                  <c:v>7.62395610264746</c:v>
                </c:pt>
                <c:pt idx="7">
                  <c:v>7.7025444301096897</c:v>
                </c:pt>
                <c:pt idx="8">
                  <c:v>9.0853802352315505</c:v>
                </c:pt>
                <c:pt idx="9">
                  <c:v>7.73665777718446</c:v>
                </c:pt>
                <c:pt idx="10">
                  <c:v>8.6761488185238402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98-42DF-9682-5ECF3767A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9079776"/>
        <c:axId val="1269078816"/>
      </c:scatterChart>
      <c:valAx>
        <c:axId val="1269079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078816"/>
        <c:crosses val="autoZero"/>
        <c:crossBetween val="midCat"/>
      </c:valAx>
      <c:valAx>
        <c:axId val="12690788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Dreath</a:t>
                </a:r>
                <a:r>
                  <a:rPr lang="en-US" baseline="0"/>
                  <a:t> Rate per 100,00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079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111125</xdr:colOff>
      <xdr:row>1</xdr:row>
      <xdr:rowOff>0</xdr:rowOff>
    </xdr:from>
    <xdr:to>
      <xdr:col>12</xdr:col>
      <xdr:colOff>415925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3673C2-8081-AD8D-934B-62EF57BC9B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1EC266-B31D-4F15-ABEF-EC1D09C44100}" name="Table1" displayName="Table1" ref="A3:D6" totalsRowShown="0" headerRowDxfId="5" dataDxfId="6">
  <autoFilter ref="A3:D6" xr:uid="{061EC266-B31D-4F15-ABEF-EC1D09C44100}"/>
  <tableColumns count="4">
    <tableColumn id="1" xr3:uid="{B2315A4B-AB83-4C30-AA06-368E88875B02}" name="Period" dataDxfId="9"/>
    <tableColumn id="2" xr3:uid="{C7D528A2-9EEA-4900-87A0-EE492871753B}" name="Years" dataDxfId="8"/>
    <tableColumn id="3" xr3:uid="{D9E6C939-B109-4677-B935-01096C24A07D}" name="Description" dataDxfId="7"/>
    <tableColumn id="4" xr3:uid="{B979A679-F826-467E-B8B2-C3B114578028}" name="Chang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39687C-7A86-430F-9A5F-DA40B4928926}" name="Table2" displayName="Table2" ref="A10:C18" totalsRowShown="0" headerRowDxfId="0" dataDxfId="1">
  <autoFilter ref="A10:C18" xr:uid="{BB39687C-7A86-430F-9A5F-DA40B4928926}"/>
  <tableColumns count="3">
    <tableColumn id="1" xr3:uid="{ECE1B4DF-EE2E-4099-8402-E88238A716DA}" name="Statistic" dataDxfId="4"/>
    <tableColumn id="2" xr3:uid="{B429500C-4BD0-4281-A328-13B7F8B67594}" name="Value" dataDxfId="3"/>
    <tableColumn id="3" xr3:uid="{75CC8F90-1CD1-4553-AE28-308973CCDA7F}" name="Note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F21C4-F9AF-426B-BBF3-3B375FB714EB}">
  <sheetPr filterMode="1"/>
  <dimension ref="A1:C23"/>
  <sheetViews>
    <sheetView tabSelected="1" workbookViewId="0">
      <selection activeCell="B1" sqref="B1:C12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2011</v>
      </c>
      <c r="C2">
        <v>6.2253354835395998</v>
      </c>
    </row>
    <row r="3" spans="1:3" x14ac:dyDescent="0.35">
      <c r="A3" t="s">
        <v>3</v>
      </c>
      <c r="B3">
        <v>2012</v>
      </c>
      <c r="C3">
        <v>6.2200540944379599</v>
      </c>
    </row>
    <row r="4" spans="1:3" x14ac:dyDescent="0.35">
      <c r="A4" t="s">
        <v>3</v>
      </c>
      <c r="B4">
        <v>2013</v>
      </c>
      <c r="C4">
        <v>6.3537409334039401</v>
      </c>
    </row>
    <row r="5" spans="1:3" x14ac:dyDescent="0.35">
      <c r="A5" t="s">
        <v>3</v>
      </c>
      <c r="B5">
        <v>2014</v>
      </c>
      <c r="C5">
        <v>6.9200614734221499</v>
      </c>
    </row>
    <row r="6" spans="1:3" x14ac:dyDescent="0.35">
      <c r="A6" t="s">
        <v>3</v>
      </c>
      <c r="B6">
        <v>2016</v>
      </c>
      <c r="C6">
        <v>9.00360663637694</v>
      </c>
    </row>
    <row r="7" spans="1:3" x14ac:dyDescent="0.35">
      <c r="A7" t="s">
        <v>3</v>
      </c>
      <c r="B7">
        <v>2017</v>
      </c>
      <c r="C7">
        <v>8.87827904649766</v>
      </c>
    </row>
    <row r="8" spans="1:3" x14ac:dyDescent="0.35">
      <c r="A8" t="s">
        <v>3</v>
      </c>
      <c r="B8">
        <v>2015</v>
      </c>
      <c r="C8">
        <v>7.62395610264746</v>
      </c>
    </row>
    <row r="9" spans="1:3" x14ac:dyDescent="0.35">
      <c r="A9" t="s">
        <v>3</v>
      </c>
      <c r="B9">
        <v>2019</v>
      </c>
      <c r="C9">
        <v>7.7025444301096897</v>
      </c>
    </row>
    <row r="10" spans="1:3" x14ac:dyDescent="0.35">
      <c r="A10" t="s">
        <v>3</v>
      </c>
      <c r="B10">
        <v>2021</v>
      </c>
      <c r="C10">
        <v>9.0853802352315505</v>
      </c>
    </row>
    <row r="11" spans="1:3" x14ac:dyDescent="0.35">
      <c r="A11" t="s">
        <v>3</v>
      </c>
      <c r="B11">
        <v>2018</v>
      </c>
      <c r="C11">
        <v>7.73665777718446</v>
      </c>
    </row>
    <row r="12" spans="1:3" x14ac:dyDescent="0.35">
      <c r="A12" t="s">
        <v>3</v>
      </c>
      <c r="B12">
        <v>2020</v>
      </c>
      <c r="C12">
        <v>8.6761488185238402</v>
      </c>
    </row>
    <row r="13" spans="1:3" hidden="1" x14ac:dyDescent="0.35">
      <c r="A13" t="s">
        <v>4</v>
      </c>
      <c r="B13">
        <v>2013</v>
      </c>
      <c r="C13">
        <v>474.64731632251602</v>
      </c>
    </row>
    <row r="14" spans="1:3" hidden="1" x14ac:dyDescent="0.35">
      <c r="A14" t="s">
        <v>4</v>
      </c>
      <c r="B14">
        <v>2012</v>
      </c>
      <c r="C14">
        <v>465.50080573698102</v>
      </c>
    </row>
    <row r="15" spans="1:3" hidden="1" x14ac:dyDescent="0.35">
      <c r="A15" t="s">
        <v>4</v>
      </c>
      <c r="B15">
        <v>2011</v>
      </c>
      <c r="C15">
        <v>466.15049535461702</v>
      </c>
    </row>
    <row r="16" spans="1:3" hidden="1" x14ac:dyDescent="0.35">
      <c r="A16" t="s">
        <v>4</v>
      </c>
      <c r="B16">
        <v>2014</v>
      </c>
      <c r="C16">
        <v>512.79054222066497</v>
      </c>
    </row>
    <row r="17" spans="1:3" hidden="1" x14ac:dyDescent="0.35">
      <c r="A17" t="s">
        <v>4</v>
      </c>
      <c r="B17">
        <v>2016</v>
      </c>
      <c r="C17">
        <v>652.606882667273</v>
      </c>
    </row>
    <row r="18" spans="1:3" hidden="1" x14ac:dyDescent="0.35">
      <c r="A18" t="s">
        <v>4</v>
      </c>
      <c r="B18">
        <v>2015</v>
      </c>
      <c r="C18">
        <v>563.743970959948</v>
      </c>
    </row>
    <row r="19" spans="1:3" hidden="1" x14ac:dyDescent="0.35">
      <c r="A19" t="s">
        <v>4</v>
      </c>
      <c r="B19">
        <v>2017</v>
      </c>
      <c r="C19">
        <v>642.25031389298397</v>
      </c>
    </row>
    <row r="20" spans="1:3" hidden="1" x14ac:dyDescent="0.35">
      <c r="A20" t="s">
        <v>4</v>
      </c>
      <c r="B20">
        <v>2019</v>
      </c>
      <c r="C20">
        <v>567.00061600656397</v>
      </c>
    </row>
    <row r="21" spans="1:3" hidden="1" x14ac:dyDescent="0.35">
      <c r="A21" t="s">
        <v>4</v>
      </c>
      <c r="B21">
        <v>2020</v>
      </c>
      <c r="C21">
        <v>631.87889186765005</v>
      </c>
    </row>
    <row r="22" spans="1:3" hidden="1" x14ac:dyDescent="0.35">
      <c r="A22" t="s">
        <v>4</v>
      </c>
      <c r="B22">
        <v>2018</v>
      </c>
      <c r="C22">
        <v>569.19919240267495</v>
      </c>
    </row>
    <row r="23" spans="1:3" hidden="1" x14ac:dyDescent="0.35">
      <c r="A23" t="s">
        <v>4</v>
      </c>
      <c r="B23">
        <v>2021</v>
      </c>
      <c r="C23">
        <v>659.47145929556802</v>
      </c>
    </row>
  </sheetData>
  <autoFilter ref="A1:A23" xr:uid="{8ACF21C4-F9AF-426B-BBF3-3B375FB714EB}">
    <filterColumn colId="0">
      <filters>
        <filter val="Deaths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E0B6B-1165-44CD-AB28-3B5A639B1B92}">
  <dimension ref="A1:I36"/>
  <sheetViews>
    <sheetView topLeftCell="A21" workbookViewId="0">
      <selection activeCell="I28" sqref="I28"/>
    </sheetView>
  </sheetViews>
  <sheetFormatPr defaultRowHeight="14.5" x14ac:dyDescent="0.35"/>
  <cols>
    <col min="1" max="1" width="17.26953125" bestFit="1" customWidth="1"/>
    <col min="2" max="2" width="14.81640625" bestFit="1" customWidth="1"/>
    <col min="3" max="3" width="13.54296875" bestFit="1" customWidth="1"/>
    <col min="4" max="4" width="12.453125" bestFit="1" customWidth="1"/>
    <col min="5" max="5" width="11.81640625" bestFit="1" customWidth="1"/>
    <col min="6" max="6" width="12.453125" bestFit="1" customWidth="1"/>
    <col min="7" max="7" width="11.81640625" bestFit="1" customWidth="1"/>
    <col min="8" max="8" width="12.453125" bestFit="1" customWidth="1"/>
    <col min="9" max="9" width="12" bestFit="1" customWidth="1"/>
  </cols>
  <sheetData>
    <row r="1" spans="1:3" x14ac:dyDescent="0.35">
      <c r="A1" s="1" t="s">
        <v>1</v>
      </c>
      <c r="B1" s="1" t="s">
        <v>5</v>
      </c>
    </row>
    <row r="2" spans="1:3" x14ac:dyDescent="0.35">
      <c r="A2" s="1">
        <v>2011</v>
      </c>
      <c r="B2" s="1">
        <v>6.2253354835395998</v>
      </c>
    </row>
    <row r="3" spans="1:3" x14ac:dyDescent="0.35">
      <c r="A3" s="1">
        <v>2012</v>
      </c>
      <c r="B3" s="1">
        <v>6.2200540944379599</v>
      </c>
    </row>
    <row r="4" spans="1:3" x14ac:dyDescent="0.35">
      <c r="A4" s="1">
        <v>2013</v>
      </c>
      <c r="B4" s="1">
        <v>6.3537409334039401</v>
      </c>
    </row>
    <row r="5" spans="1:3" x14ac:dyDescent="0.35">
      <c r="A5" s="1">
        <v>2014</v>
      </c>
      <c r="B5" s="1">
        <v>6.9200614734221499</v>
      </c>
    </row>
    <row r="6" spans="1:3" x14ac:dyDescent="0.35">
      <c r="A6" s="1">
        <v>2016</v>
      </c>
      <c r="B6" s="1">
        <v>9.00360663637694</v>
      </c>
    </row>
    <row r="7" spans="1:3" x14ac:dyDescent="0.35">
      <c r="A7" s="1">
        <v>2017</v>
      </c>
      <c r="B7" s="1">
        <v>8.87827904649766</v>
      </c>
    </row>
    <row r="8" spans="1:3" x14ac:dyDescent="0.35">
      <c r="A8" s="1">
        <v>2015</v>
      </c>
      <c r="B8" s="1">
        <v>7.62395610264746</v>
      </c>
    </row>
    <row r="9" spans="1:3" x14ac:dyDescent="0.35">
      <c r="A9" s="1">
        <v>2019</v>
      </c>
      <c r="B9" s="1">
        <v>7.7025444301096897</v>
      </c>
    </row>
    <row r="10" spans="1:3" x14ac:dyDescent="0.35">
      <c r="A10" s="1">
        <v>2021</v>
      </c>
      <c r="B10" s="1">
        <v>9.0853802352315505</v>
      </c>
    </row>
    <row r="11" spans="1:3" x14ac:dyDescent="0.35">
      <c r="A11" s="1">
        <v>2018</v>
      </c>
      <c r="B11" s="1">
        <v>7.73665777718446</v>
      </c>
    </row>
    <row r="12" spans="1:3" x14ac:dyDescent="0.35">
      <c r="A12" s="1">
        <v>2020</v>
      </c>
      <c r="B12" s="1">
        <v>8.6761488185238402</v>
      </c>
    </row>
    <row r="14" spans="1:3" x14ac:dyDescent="0.35">
      <c r="A14" t="s">
        <v>6</v>
      </c>
      <c r="B14">
        <f>AVERAGE(B2:B12)</f>
        <v>7.6750695483068405</v>
      </c>
    </row>
    <row r="15" spans="1:3" x14ac:dyDescent="0.35">
      <c r="A15" t="s">
        <v>7</v>
      </c>
      <c r="B15">
        <f>MAX(B2:B12)</f>
        <v>9.0853802352315505</v>
      </c>
      <c r="C15">
        <v>2021</v>
      </c>
    </row>
    <row r="16" spans="1:3" x14ac:dyDescent="0.35">
      <c r="A16" t="s">
        <v>8</v>
      </c>
      <c r="B16">
        <f>MIN(B2:B12)</f>
        <v>6.2200540944379599</v>
      </c>
      <c r="C16">
        <v>2012</v>
      </c>
    </row>
    <row r="19" spans="1:6" x14ac:dyDescent="0.35">
      <c r="A19" t="s">
        <v>9</v>
      </c>
    </row>
    <row r="20" spans="1:6" ht="15" thickBot="1" x14ac:dyDescent="0.4"/>
    <row r="21" spans="1:6" x14ac:dyDescent="0.35">
      <c r="A21" s="4" t="s">
        <v>10</v>
      </c>
      <c r="B21" s="4"/>
    </row>
    <row r="22" spans="1:6" x14ac:dyDescent="0.35">
      <c r="A22" t="s">
        <v>11</v>
      </c>
      <c r="B22">
        <v>0.8294716938991048</v>
      </c>
    </row>
    <row r="23" spans="1:6" x14ac:dyDescent="0.35">
      <c r="A23" t="s">
        <v>12</v>
      </c>
      <c r="B23">
        <v>0.68802329097985016</v>
      </c>
    </row>
    <row r="24" spans="1:6" x14ac:dyDescent="0.35">
      <c r="A24" t="s">
        <v>13</v>
      </c>
      <c r="B24">
        <v>0.65335921219983351</v>
      </c>
    </row>
    <row r="25" spans="1:6" x14ac:dyDescent="0.35">
      <c r="A25" t="s">
        <v>14</v>
      </c>
      <c r="B25">
        <v>0.66469558986391286</v>
      </c>
    </row>
    <row r="26" spans="1:6" ht="15" thickBot="1" x14ac:dyDescent="0.4">
      <c r="A26" s="2" t="s">
        <v>15</v>
      </c>
      <c r="B26" s="2">
        <v>11</v>
      </c>
    </row>
    <row r="28" spans="1:6" ht="15" thickBot="1" x14ac:dyDescent="0.4">
      <c r="A28" t="s">
        <v>16</v>
      </c>
    </row>
    <row r="29" spans="1:6" x14ac:dyDescent="0.35">
      <c r="A29" s="3"/>
      <c r="B29" s="3" t="s">
        <v>21</v>
      </c>
      <c r="C29" s="3" t="s">
        <v>22</v>
      </c>
      <c r="D29" s="3" t="s">
        <v>23</v>
      </c>
      <c r="E29" s="3" t="s">
        <v>24</v>
      </c>
      <c r="F29" s="3" t="s">
        <v>25</v>
      </c>
    </row>
    <row r="30" spans="1:6" x14ac:dyDescent="0.35">
      <c r="A30" t="s">
        <v>17</v>
      </c>
      <c r="B30">
        <v>1</v>
      </c>
      <c r="C30">
        <v>8.7693836798054647</v>
      </c>
      <c r="D30">
        <v>8.7693836798054647</v>
      </c>
      <c r="E30">
        <v>19.848307388929832</v>
      </c>
      <c r="F30">
        <v>1.5883516310235607E-3</v>
      </c>
    </row>
    <row r="31" spans="1:6" x14ac:dyDescent="0.35">
      <c r="A31" t="s">
        <v>18</v>
      </c>
      <c r="B31">
        <v>9</v>
      </c>
      <c r="C31">
        <v>3.9763820446608156</v>
      </c>
      <c r="D31">
        <v>0.44182022718453506</v>
      </c>
    </row>
    <row r="32" spans="1:6" ht="15" thickBot="1" x14ac:dyDescent="0.4">
      <c r="A32" s="2" t="s">
        <v>19</v>
      </c>
      <c r="B32" s="2">
        <v>10</v>
      </c>
      <c r="C32" s="2">
        <v>12.745765724466281</v>
      </c>
      <c r="D32" s="2"/>
      <c r="E32" s="2"/>
      <c r="F32" s="2"/>
    </row>
    <row r="33" spans="1:9" ht="15" thickBot="1" x14ac:dyDescent="0.4"/>
    <row r="34" spans="1:9" x14ac:dyDescent="0.35">
      <c r="A34" s="3"/>
      <c r="B34" s="3" t="s">
        <v>26</v>
      </c>
      <c r="C34" s="3" t="s">
        <v>14</v>
      </c>
      <c r="D34" s="3" t="s">
        <v>27</v>
      </c>
      <c r="E34" s="3" t="s">
        <v>28</v>
      </c>
      <c r="F34" s="3" t="s">
        <v>29</v>
      </c>
      <c r="G34" s="3" t="s">
        <v>30</v>
      </c>
      <c r="H34" s="3" t="s">
        <v>31</v>
      </c>
      <c r="I34" s="3" t="s">
        <v>32</v>
      </c>
    </row>
    <row r="35" spans="1:9" x14ac:dyDescent="0.35">
      <c r="A35" t="s">
        <v>20</v>
      </c>
      <c r="B35">
        <v>-561.54305637652408</v>
      </c>
      <c r="C35">
        <v>127.7666526224622</v>
      </c>
      <c r="D35">
        <v>-4.3950674518790764</v>
      </c>
      <c r="E35">
        <v>1.7327469438551968E-3</v>
      </c>
      <c r="F35">
        <v>-850.57130477317708</v>
      </c>
      <c r="G35">
        <v>-272.51480797987108</v>
      </c>
      <c r="H35">
        <v>-850.57130477317708</v>
      </c>
      <c r="I35">
        <v>-272.51480797987108</v>
      </c>
    </row>
    <row r="36" spans="1:9" ht="15" thickBot="1" x14ac:dyDescent="0.4">
      <c r="A36" s="2" t="s">
        <v>33</v>
      </c>
      <c r="B36" s="2">
        <v>0.28235026087541215</v>
      </c>
      <c r="C36" s="2">
        <v>6.3376237817177272E-2</v>
      </c>
      <c r="D36" s="2">
        <v>4.4551439246033144</v>
      </c>
      <c r="E36" s="2">
        <v>1.5883516310235635E-3</v>
      </c>
      <c r="F36" s="2">
        <v>0.1389832505460821</v>
      </c>
      <c r="G36" s="2">
        <v>0.42571727120474223</v>
      </c>
      <c r="H36" s="2">
        <v>0.1389832505460821</v>
      </c>
      <c r="I36" s="2">
        <v>0.42571727120474223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C284A-DA92-4110-8997-5F06AF162249}">
  <dimension ref="A1:D23"/>
  <sheetViews>
    <sheetView topLeftCell="A7" workbookViewId="0">
      <selection activeCell="A23" sqref="A23"/>
    </sheetView>
  </sheetViews>
  <sheetFormatPr defaultRowHeight="14.5" x14ac:dyDescent="0.35"/>
  <cols>
    <col min="1" max="1" width="26.36328125" style="1" bestFit="1" customWidth="1"/>
    <col min="2" max="2" width="10.08984375" style="1" bestFit="1" customWidth="1"/>
    <col min="3" max="3" width="28.453125" style="1" bestFit="1" customWidth="1"/>
    <col min="4" max="4" width="9.26953125" style="1" bestFit="1" customWidth="1"/>
  </cols>
  <sheetData>
    <row r="1" spans="1:4" ht="18.5" x14ac:dyDescent="0.45">
      <c r="A1" s="6" t="s">
        <v>70</v>
      </c>
    </row>
    <row r="3" spans="1:4" x14ac:dyDescent="0.35">
      <c r="A3" s="1" t="s">
        <v>34</v>
      </c>
      <c r="B3" s="1" t="s">
        <v>35</v>
      </c>
      <c r="C3" s="1" t="s">
        <v>36</v>
      </c>
      <c r="D3" s="1" t="s">
        <v>37</v>
      </c>
    </row>
    <row r="4" spans="1:4" x14ac:dyDescent="0.35">
      <c r="A4" s="1" t="s">
        <v>38</v>
      </c>
      <c r="B4" s="1" t="s">
        <v>39</v>
      </c>
      <c r="C4" s="1" t="s">
        <v>40</v>
      </c>
      <c r="D4" s="5">
        <v>0.44600000000000001</v>
      </c>
    </row>
    <row r="5" spans="1:4" x14ac:dyDescent="0.35">
      <c r="A5" s="1" t="s">
        <v>41</v>
      </c>
      <c r="B5" s="1" t="s">
        <v>42</v>
      </c>
      <c r="C5" s="1" t="s">
        <v>43</v>
      </c>
      <c r="D5" s="1" t="s">
        <v>44</v>
      </c>
    </row>
    <row r="6" spans="1:4" x14ac:dyDescent="0.35">
      <c r="A6" s="1" t="s">
        <v>45</v>
      </c>
      <c r="B6" s="1" t="s">
        <v>46</v>
      </c>
      <c r="C6" s="1" t="s">
        <v>47</v>
      </c>
      <c r="D6" s="5">
        <v>0.18</v>
      </c>
    </row>
    <row r="8" spans="1:4" ht="18.5" x14ac:dyDescent="0.45">
      <c r="A8" s="6" t="s">
        <v>48</v>
      </c>
    </row>
    <row r="10" spans="1:4" x14ac:dyDescent="0.35">
      <c r="A10" s="1" t="s">
        <v>49</v>
      </c>
      <c r="B10" s="1" t="s">
        <v>50</v>
      </c>
      <c r="C10" s="1" t="s">
        <v>51</v>
      </c>
    </row>
    <row r="11" spans="1:4" x14ac:dyDescent="0.35">
      <c r="A11" s="1" t="s">
        <v>52</v>
      </c>
      <c r="B11" s="1">
        <v>7.68</v>
      </c>
      <c r="C11" s="1" t="s">
        <v>53</v>
      </c>
    </row>
    <row r="12" spans="1:4" x14ac:dyDescent="0.35">
      <c r="A12" s="1" t="s">
        <v>54</v>
      </c>
      <c r="B12" s="1" t="s">
        <v>55</v>
      </c>
      <c r="C12" s="1" t="s">
        <v>56</v>
      </c>
    </row>
    <row r="13" spans="1:4" x14ac:dyDescent="0.35">
      <c r="A13" s="1" t="s">
        <v>57</v>
      </c>
      <c r="B13" s="1" t="s">
        <v>58</v>
      </c>
      <c r="C13" s="1" t="s">
        <v>59</v>
      </c>
    </row>
    <row r="14" spans="1:4" x14ac:dyDescent="0.35">
      <c r="A14" s="1" t="s">
        <v>60</v>
      </c>
      <c r="B14" s="5">
        <v>0.46</v>
      </c>
      <c r="C14" s="1" t="s">
        <v>61</v>
      </c>
    </row>
    <row r="15" spans="1:4" x14ac:dyDescent="0.35">
      <c r="A15" s="1" t="s">
        <v>62</v>
      </c>
      <c r="B15" s="1">
        <v>0.28199999999999997</v>
      </c>
      <c r="C15" s="1" t="s">
        <v>63</v>
      </c>
    </row>
    <row r="16" spans="1:4" x14ac:dyDescent="0.35">
      <c r="A16" s="1" t="s">
        <v>64</v>
      </c>
      <c r="B16" s="1">
        <v>0.68799999999999994</v>
      </c>
      <c r="C16" s="1" t="s">
        <v>65</v>
      </c>
    </row>
    <row r="17" spans="1:3" x14ac:dyDescent="0.35">
      <c r="A17" s="1" t="s">
        <v>66</v>
      </c>
      <c r="B17" s="5">
        <v>3.8399999999999997E-2</v>
      </c>
      <c r="C17" s="1" t="s">
        <v>67</v>
      </c>
    </row>
    <row r="18" spans="1:3" x14ac:dyDescent="0.35">
      <c r="A18" s="1" t="s">
        <v>68</v>
      </c>
      <c r="B18" s="1">
        <v>1.6000000000000001E-3</v>
      </c>
      <c r="C18" s="1" t="s">
        <v>69</v>
      </c>
    </row>
    <row r="20" spans="1:3" ht="18.5" x14ac:dyDescent="0.45">
      <c r="A20" s="7" t="s">
        <v>74</v>
      </c>
    </row>
    <row r="21" spans="1:3" x14ac:dyDescent="0.35">
      <c r="A21" s="8" t="s">
        <v>71</v>
      </c>
    </row>
    <row r="22" spans="1:3" x14ac:dyDescent="0.35">
      <c r="A22" s="8" t="s">
        <v>72</v>
      </c>
    </row>
    <row r="23" spans="1:3" x14ac:dyDescent="0.35">
      <c r="A23" s="8" t="s">
        <v>73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Clean_data</vt:lpstr>
      <vt:lpstr>chart+Analysis</vt:lpstr>
      <vt:lpstr>Analysis_Summary+Period_Analysi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2025-10-13T18:45:05Z</dcterms:created>
  <dcterms:modified xsi:type="dcterms:W3CDTF">2025-10-13T19:13:19Z</dcterms:modified>
</cp:coreProperties>
</file>