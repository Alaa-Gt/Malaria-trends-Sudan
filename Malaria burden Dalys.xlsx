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03"/>
  <workbookPr/>
  <mc:AlternateContent xmlns:mc="http://schemas.openxmlformats.org/markup-compatibility/2006">
    <mc:Choice Requires="x15">
      <x15ac:absPath xmlns:x15ac="http://schemas.microsoft.com/office/spreadsheetml/2010/11/ac" url="C:\Users\Lenovo\Documents\portfolio projects\Sudanese disease trends\"/>
    </mc:Choice>
  </mc:AlternateContent>
  <xr:revisionPtr revIDLastSave="0" documentId="13_ncr:1_{BF3EA360-6A81-4092-B07B-278C20FD0291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Malaria burden Dalys" sheetId="1" r:id="rId1"/>
    <sheet name="period analysis+analysis summar" sheetId="2" r:id="rId2"/>
  </sheets>
  <calcPr calcId="191029"/>
</workbook>
</file>

<file path=xl/sharedStrings.xml><?xml version="1.0" encoding="utf-8"?>
<sst xmlns="http://schemas.openxmlformats.org/spreadsheetml/2006/main" count="68" uniqueCount="66">
  <si>
    <t>year</t>
  </si>
  <si>
    <t>Rate</t>
  </si>
  <si>
    <t>Avereage</t>
  </si>
  <si>
    <t>Maximum</t>
  </si>
  <si>
    <t>Minimum</t>
  </si>
  <si>
    <t>Percent Change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</si>
  <si>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</si>
  <si>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</si>
  <si>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</si>
  <si>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</si>
  <si>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</si>
  <si>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</si>
  <si>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</si>
  <si>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</si>
  <si>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</si>
  <si>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</si>
  <si>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</si>
  <si>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</si>
  <si>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</si>
  <si>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</si>
  <si>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</si>
  <si>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</si>
  <si>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</si>
  <si>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</si>
  <si>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</si>
  <si>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</si>
  <si>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</si>
  <si>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</si>
  <si>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</si>
  <si>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</si>
  <si>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</si>
  <si>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Period 1 (2011-2016): RISING</t>
  </si>
  <si>
    <t>2011: 466.15</t>
  </si>
  <si>
    <t>2016: 652.61</t>
  </si>
  <si>
    <t>Period 2 (2016-2018): DECLINING</t>
  </si>
  <si>
    <t>2018: 569.2</t>
  </si>
  <si>
    <t>Period 3 (2019-2021): RISING AGAIN</t>
  </si>
  <si>
    <t>2019: 567</t>
  </si>
  <si>
    <t>2021: 659.47</t>
  </si>
  <si>
    <t>Change: ((652.61-466.15)/466.15) × 100 = +40.0% increase</t>
  </si>
  <si>
    <t>Change: ((569.2-652.61)/652.61) × 100 = -12.8% decrease</t>
  </si>
  <si>
    <t>Change: ((659.47-567)/567) × 100 = +16.3% increase</t>
  </si>
  <si>
    <t>Period Analysis</t>
  </si>
  <si>
    <t>Data shows THREE distinct periods.The change for each:</t>
  </si>
  <si>
    <t>Analysis Summary</t>
  </si>
  <si>
    <t>Statistic</t>
  </si>
  <si>
    <t>Value</t>
  </si>
  <si>
    <t>Note</t>
  </si>
  <si>
    <t>Mean DALYs rate (2011–2021)</t>
  </si>
  <si>
    <t>Average across 11 years</t>
  </si>
  <si>
    <t>Min DALYs rate</t>
  </si>
  <si>
    <t>459.7 (2012)</t>
  </si>
  <si>
    <t>Lowest</t>
  </si>
  <si>
    <t>Max DALYs rate</t>
  </si>
  <si>
    <t>659.47 (2021)</t>
  </si>
  <si>
    <t>Highest</t>
  </si>
  <si>
    <t>% Change (2011→2021)</t>
  </si>
  <si>
    <t>Overall increase</t>
  </si>
  <si>
    <t>Linear trend (slope/year)</t>
  </si>
  <si>
    <t>DALYs_rate per year</t>
  </si>
  <si>
    <t>R²</t>
  </si>
  <si>
    <t>Strength of linear trend</t>
  </si>
  <si>
    <t>CAGR</t>
  </si>
  <si>
    <t>Compound annual growth rate</t>
  </si>
  <si>
    <t>CAGR = 3.53% per year ≈ average annual increase in DALYs rate across 2011–2021.</t>
  </si>
  <si>
    <t>Note: Linear trend = +19.1 DALYs per 100 000 per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</si>
</sst>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>
      <alignment vertical="center"/>
    </xf>
    <xf numFmtId="0" fontId="2" fillId="0" borderId="3" applyNumberFormat="0" applyFill="0" applyAlignment="0" applyProtection="0"/>
  </cellStyleXfs>
  <cellXfs count="1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Continuous" vertical="center"/>
    </xf>
    <xf numFmtId="0" fontId="2" fillId="0" borderId="3" xfId="1" applyAlignment="1">
      <alignment vertical="center"/>
    </xf>
    <xf numFmtId="0" fontId="2" fillId="0" borderId="3" xfId="1" applyAlignment="1">
      <alignment horizontal="left" vertical="center" indent="1"/>
    </xf>
    <xf numFmtId="0" fontId="2" fillId="0" borderId="3" xfId="1" applyAlignment="1">
      <alignment horizontal="left" vertical="center"/>
    </xf>
    <xf numFmtId="10" fontId="2" fillId="0" borderId="3" xfId="1" applyNumberFormat="1" applyAlignment="1">
      <alignment horizontal="left" vertical="center"/>
    </xf>
    <xf numFmtId="0" fontId="3" fillId="0" borderId="3" xfId="1" applyFont="1" applyAlignment="1">
      <alignment horizontal="left" vertical="center"/>
    </xf>
    <xf numFmtId="0" fontId="4" fillId="0" borderId="3" xfId="1" applyFont="1" applyAlignment="1">
      <alignment horizontal="left" vertical="center"/>
    </xf>
    <xf numFmtId="0" fontId="5" fillId="0" borderId="3" xfId="1" applyFont="1" applyAlignment="1">
      <alignment horizontal="left" vertical="center"/>
    </xf>
  </cellXfs>
  <cellStyles count="2">
    <cellStyle name="Normal" xfId="0" builtinId="0"/>
    <cellStyle name="Total" xfId="1" builtinId="25"/>
  </cellStyles>
  <dxfs count="29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Malaria</a:t>
            </a:r>
            <a:r>
              <a:rPr lang="en-US" baseline="0"/>
              <a:t> disease burden in Sudan</a:t>
            </a:r>
          </a:p>
          <a:p>
            <a:pPr>
              <a:defRPr/>
            </a:pPr>
            <a:r>
              <a:rPr lang="en-US" baseline="0"/>
              <a:t>DALYs Rate per 100,000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'Malaria burden Dalys'!$B$1</c:f>
              <c:strCache>
                <c:ptCount val="1"/>
                <c:pt idx="0">
                  <c:v>Rate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579418197725285E-2"/>
                  <c:y val="0.198657407407407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'Malaria burden Dalys'!$A$2:$A$12</c:f>
              <c:numCache>
                <c:formatCode>General</c:formatCod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numCache>
            </c:numRef>
          </c:xVal>
          <c:yVal>
            <c:numRef>
              <c:f>'Malaria burden Dalys'!$B$2:$B$12</c:f>
              <c:numCache>
                <c:formatCode>General</c:formatCode>
                <c:ptCount val="11"/>
                <c:pt idx="0">
                  <c:v>466.15</c:v>
                </c:pt>
                <c:pt idx="1">
                  <c:v>465.5</c:v>
                </c:pt>
                <c:pt idx="2">
                  <c:v>474.65</c:v>
                </c:pt>
                <c:pt idx="3">
                  <c:v>512.79</c:v>
                </c:pt>
                <c:pt idx="4">
                  <c:v>563.74</c:v>
                </c:pt>
                <c:pt idx="5">
                  <c:v>652.61</c:v>
                </c:pt>
                <c:pt idx="6">
                  <c:v>642.25</c:v>
                </c:pt>
                <c:pt idx="7">
                  <c:v>569.20000000000005</c:v>
                </c:pt>
                <c:pt idx="8">
                  <c:v>567</c:v>
                </c:pt>
                <c:pt idx="9">
                  <c:v>631.88</c:v>
                </c:pt>
                <c:pt idx="10">
                  <c:v>659.47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C5-4E4D-9964-675641EEF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8061568"/>
        <c:axId val="1648065888"/>
      </c:scatterChart>
      <c:valAx>
        <c:axId val="1648061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065888"/>
        <c:crosses val="autoZero"/>
        <c:crossBetween val="midCat"/>
      </c:valAx>
      <c:valAx>
        <c:axId val="1648065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Rate per 100,000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061568"/>
        <c:crosses val="autoZero"/>
        <c:crossBetween val="midCat"/>
      </c:valAx>
      <c:spPr>
        <a:noFill/>
        <a:ln>
          <a:solidFill>
            <a:schemeClr val="bg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1</xdr:row>
      <xdr:rowOff>139700</xdr:rowOff>
    </xdr:from>
    <xdr:to>
      <xdr:col>9</xdr:col>
      <xdr:colOff>47625</xdr:colOff>
      <xdr:row>16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47A358-3605-4DD7-960D-6D5AC622F0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0C7FA4-A54B-49D3-8C79-995B2B28B891}" name="Table1" displayName="Table1" ref="A1:B12" totalsRowShown="0" headerRowDxfId="11" dataDxfId="10">
  <autoFilter ref="A1:B12" xr:uid="{EC0C7FA4-A54B-49D3-8C79-995B2B28B891}"/>
  <tableColumns count="2">
    <tableColumn id="1" xr3:uid="{FCBC7EE3-7081-433A-9D32-31E7C14582E5}" name="year" dataDxfId="9"/>
    <tableColumn id="2" xr3:uid="{08995E73-52AC-4474-8CE9-C08E1A5EB05E}" name="Rate" dataDxfId="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327072-36AE-477D-AA12-26D432591F0F}" name="Table2" displayName="Table2" ref="A16:C19" headerRowCount="0" totalsRowShown="0" headerRowDxfId="7" dataDxfId="6">
  <tableColumns count="3">
    <tableColumn id="1" xr3:uid="{71FAB842-8C6F-4173-B624-762DD48B845A}" name="Column1" headerRowDxfId="5" dataDxfId="4"/>
    <tableColumn id="2" xr3:uid="{F0236866-97D4-4A47-888E-70FA823B5B5A}" name="Column2" headerRowDxfId="3" dataDxfId="2"/>
    <tableColumn id="3" xr3:uid="{951BE272-A937-431B-AC0B-057705C5DBDB}" name="Column3" headerRowDxfId="1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workbookViewId="0">
      <selection sqref="A1:B12"/>
    </sheetView>
  </sheetViews>
  <sheetFormatPr defaultColWidth="9.81640625" defaultRowHeight="14.5"/>
  <cols>
    <col min="1" max="1" width="17.6328125" bestFit="1" customWidth="1"/>
    <col min="2" max="2" width="12.453125" bestFit="1" customWidth="1"/>
    <col min="3" max="3" width="13.1796875" bestFit="1" customWidth="1"/>
    <col min="4" max="4" width="12.453125" bestFit="1" customWidth="1"/>
    <col min="5" max="6" width="11.81640625" bestFit="1" customWidth="1"/>
    <col min="7" max="7" width="12.453125" bestFit="1" customWidth="1"/>
    <col min="8" max="8" width="11.81640625" bestFit="1" customWidth="1"/>
    <col min="9" max="9" width="12.453125" bestFit="1" customWidth="1"/>
  </cols>
  <sheetData>
    <row r="1" spans="1:3">
      <c r="A1" s="1" t="s">
        <v>0</v>
      </c>
      <c r="B1" s="1" t="s">
        <v>1</v>
      </c>
    </row>
    <row r="2" spans="1:3">
      <c r="A2" s="1">
        <v>2011</v>
      </c>
      <c r="B2" s="1">
        <v>466.15</v>
      </c>
    </row>
    <row r="3" spans="1:3">
      <c r="A3" s="1">
        <v>2012</v>
      </c>
      <c r="B3" s="1">
        <v>465.5</v>
      </c>
    </row>
    <row r="4" spans="1:3">
      <c r="A4" s="1">
        <v>2013</v>
      </c>
      <c r="B4" s="1">
        <v>474.65</v>
      </c>
    </row>
    <row r="5" spans="1:3">
      <c r="A5" s="1">
        <v>2014</v>
      </c>
      <c r="B5" s="1">
        <v>512.79</v>
      </c>
    </row>
    <row r="6" spans="1:3">
      <c r="A6" s="1">
        <v>2015</v>
      </c>
      <c r="B6" s="1">
        <v>563.74</v>
      </c>
    </row>
    <row r="7" spans="1:3">
      <c r="A7" s="1">
        <v>2016</v>
      </c>
      <c r="B7" s="1">
        <v>652.61</v>
      </c>
    </row>
    <row r="8" spans="1:3">
      <c r="A8" s="1">
        <v>2017</v>
      </c>
      <c r="B8" s="1">
        <v>642.25</v>
      </c>
    </row>
    <row r="9" spans="1:3">
      <c r="A9" s="1">
        <v>2018</v>
      </c>
      <c r="B9" s="1">
        <v>569.20000000000005</v>
      </c>
    </row>
    <row r="10" spans="1:3">
      <c r="A10" s="1">
        <v>2019</v>
      </c>
      <c r="B10" s="1">
        <v>567</v>
      </c>
    </row>
    <row r="11" spans="1:3">
      <c r="A11" s="1">
        <v>2020</v>
      </c>
      <c r="B11" s="1">
        <v>631.88</v>
      </c>
    </row>
    <row r="12" spans="1:3">
      <c r="A12" s="1">
        <v>2021</v>
      </c>
      <c r="B12" s="1">
        <v>659.47</v>
      </c>
    </row>
    <row r="16" spans="1:3">
      <c r="A16" s="1" t="s">
        <v>2</v>
      </c>
      <c r="B16" s="1">
        <v>564.11272729999996</v>
      </c>
      <c r="C16" s="1"/>
    </row>
    <row r="17" spans="1:6">
      <c r="A17" s="1" t="s">
        <v>3</v>
      </c>
      <c r="B17" s="1">
        <v>659.47</v>
      </c>
      <c r="C17" s="1">
        <v>2021</v>
      </c>
    </row>
    <row r="18" spans="1:6">
      <c r="A18" s="1" t="s">
        <v>4</v>
      </c>
      <c r="B18" s="1">
        <v>465.5</v>
      </c>
      <c r="C18" s="1">
        <v>2012</v>
      </c>
    </row>
    <row r="19" spans="1:6">
      <c r="A19" s="1" t="s">
        <v>5</v>
      </c>
      <c r="B19" s="1">
        <v>41.669172930000002</v>
      </c>
      <c r="C19" s="1"/>
    </row>
    <row r="22" spans="1:6">
      <c r="A22" t="s">
        <v>6</v>
      </c>
    </row>
    <row r="23" spans="1:6" ht="15" thickBot="1"/>
    <row r="24" spans="1:6">
      <c r="A24" s="4" t="s">
        <v>7</v>
      </c>
      <c r="B24" s="4"/>
    </row>
    <row r="25" spans="1:6">
      <c r="A25" t="s">
        <v>8</v>
      </c>
      <c r="B25">
        <v>0.83436443362334811</v>
      </c>
    </row>
    <row r="26" spans="1:6">
      <c r="A26" t="s">
        <v>9</v>
      </c>
      <c r="B26">
        <v>0.69616400809561041</v>
      </c>
    </row>
    <row r="27" spans="1:6">
      <c r="A27" t="s">
        <v>10</v>
      </c>
      <c r="B27">
        <v>0.66240445343956711</v>
      </c>
    </row>
    <row r="28" spans="1:6">
      <c r="A28" t="s">
        <v>11</v>
      </c>
      <c r="B28">
        <v>44.103079440801139</v>
      </c>
    </row>
    <row r="29" spans="1:6" ht="15" thickBot="1">
      <c r="A29" s="2" t="s">
        <v>12</v>
      </c>
      <c r="B29" s="2">
        <v>11</v>
      </c>
    </row>
    <row r="31" spans="1:6" ht="15" thickBot="1">
      <c r="A31" t="s">
        <v>13</v>
      </c>
    </row>
    <row r="32" spans="1:6">
      <c r="A32" s="3"/>
      <c r="B32" s="3" t="s">
        <v>14</v>
      </c>
      <c r="C32" s="3" t="s">
        <v>15</v>
      </c>
      <c r="D32" s="3" t="s">
        <v>16</v>
      </c>
      <c r="E32" s="3" t="s">
        <v>17</v>
      </c>
      <c r="F32" s="3" t="s">
        <v>18</v>
      </c>
    </row>
    <row r="33" spans="1:9">
      <c r="A33" t="s">
        <v>19</v>
      </c>
      <c r="B33">
        <v>1</v>
      </c>
      <c r="C33">
        <v>40110.002272727303</v>
      </c>
      <c r="D33">
        <v>40110.002272727303</v>
      </c>
      <c r="E33">
        <v>20.621243828256194</v>
      </c>
      <c r="F33">
        <v>1.4037779461811377E-3</v>
      </c>
    </row>
    <row r="34" spans="1:9">
      <c r="A34" t="s">
        <v>20</v>
      </c>
      <c r="B34">
        <v>9</v>
      </c>
      <c r="C34">
        <v>17505.734545454543</v>
      </c>
      <c r="D34">
        <v>1945.0816161616158</v>
      </c>
    </row>
    <row r="35" spans="1:9" ht="15" thickBot="1">
      <c r="A35" s="2" t="s">
        <v>21</v>
      </c>
      <c r="B35" s="2">
        <v>10</v>
      </c>
      <c r="C35" s="2">
        <v>57615.736818181846</v>
      </c>
      <c r="D35" s="2"/>
      <c r="E35" s="2"/>
      <c r="F35" s="2"/>
    </row>
    <row r="36" spans="1:9" ht="15" thickBot="1"/>
    <row r="37" spans="1:9">
      <c r="A37" s="3"/>
      <c r="B37" s="3" t="s">
        <v>22</v>
      </c>
      <c r="C37" s="3" t="s">
        <v>11</v>
      </c>
      <c r="D37" s="3" t="s">
        <v>23</v>
      </c>
      <c r="E37" s="3" t="s">
        <v>24</v>
      </c>
      <c r="F37" s="3" t="s">
        <v>25</v>
      </c>
      <c r="G37" s="3" t="s">
        <v>26</v>
      </c>
      <c r="H37" s="3" t="s">
        <v>27</v>
      </c>
      <c r="I37" s="3" t="s">
        <v>28</v>
      </c>
    </row>
    <row r="38" spans="1:9">
      <c r="A38" t="s">
        <v>29</v>
      </c>
      <c r="B38">
        <v>-37932.323636363639</v>
      </c>
      <c r="C38">
        <v>8477.4187107926518</v>
      </c>
      <c r="D38">
        <v>-4.4745134020656279</v>
      </c>
      <c r="E38">
        <v>1.5445839281338842E-3</v>
      </c>
      <c r="F38">
        <v>-57109.57709502276</v>
      </c>
      <c r="G38">
        <v>-18755.070177704514</v>
      </c>
      <c r="H38">
        <v>-57109.57709502276</v>
      </c>
      <c r="I38">
        <v>-18755.070177704514</v>
      </c>
    </row>
    <row r="39" spans="1:9" ht="15" thickBot="1">
      <c r="A39" s="2" t="s">
        <v>30</v>
      </c>
      <c r="B39" s="2">
        <v>19.095454545454544</v>
      </c>
      <c r="C39" s="2">
        <v>4.2050636317330303</v>
      </c>
      <c r="D39" s="2">
        <v>4.5410619714177178</v>
      </c>
      <c r="E39" s="2">
        <v>1.4037779461811442E-3</v>
      </c>
      <c r="F39" s="2">
        <v>9.5829397309074338</v>
      </c>
      <c r="G39" s="2">
        <v>28.607969360001654</v>
      </c>
      <c r="H39" s="2">
        <v>9.5829397309074338</v>
      </c>
      <c r="I39" s="2">
        <v>28.607969360001654</v>
      </c>
    </row>
  </sheetData>
  <pageMargins left="0.75" right="0.75" top="1" bottom="1" header="0.5" footer="0.5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9C874-7F53-4BB9-B8A1-53427E6FCDCA}">
  <dimension ref="A1:G32"/>
  <sheetViews>
    <sheetView tabSelected="1" topLeftCell="A14" workbookViewId="0">
      <selection activeCell="A4" sqref="A4"/>
    </sheetView>
  </sheetViews>
  <sheetFormatPr defaultRowHeight="15.5" thickTop="1" thickBottom="1"/>
  <cols>
    <col min="1" max="1" width="51.08984375" style="5" bestFit="1" customWidth="1"/>
    <col min="2" max="2" width="12.08984375" style="5" bestFit="1" customWidth="1"/>
    <col min="3" max="3" width="27" style="5" bestFit="1" customWidth="1"/>
    <col min="4" max="7" width="8.7265625" style="5"/>
  </cols>
  <sheetData>
    <row r="1" spans="1:3" ht="19" thickBot="1">
      <c r="A1" s="11" t="s">
        <v>42</v>
      </c>
      <c r="B1" s="7"/>
      <c r="C1" s="7"/>
    </row>
    <row r="2" spans="1:3" thickTop="1" thickBot="1">
      <c r="A2" s="7" t="s">
        <v>43</v>
      </c>
      <c r="B2" s="7"/>
      <c r="C2" s="7"/>
    </row>
    <row r="3" spans="1:3" thickTop="1" thickBot="1">
      <c r="A3" s="7"/>
      <c r="B3" s="7"/>
      <c r="C3" s="7"/>
    </row>
    <row r="4" spans="1:3" thickTop="1" thickBot="1">
      <c r="A4" s="7" t="s">
        <v>31</v>
      </c>
      <c r="B4" s="7"/>
      <c r="C4" s="7"/>
    </row>
    <row r="5" spans="1:3" thickTop="1" thickBot="1">
      <c r="A5" s="6" t="s">
        <v>32</v>
      </c>
      <c r="B5" s="7"/>
      <c r="C5" s="7"/>
    </row>
    <row r="6" spans="1:3" thickTop="1" thickBot="1">
      <c r="A6" s="6" t="s">
        <v>33</v>
      </c>
      <c r="B6" s="7"/>
      <c r="C6" s="7"/>
    </row>
    <row r="7" spans="1:3" thickTop="1" thickBot="1">
      <c r="A7" s="6" t="s">
        <v>39</v>
      </c>
      <c r="B7" s="7"/>
      <c r="C7" s="7"/>
    </row>
    <row r="8" spans="1:3" thickTop="1" thickBot="1">
      <c r="A8" s="7"/>
      <c r="B8" s="7"/>
      <c r="C8" s="7"/>
    </row>
    <row r="9" spans="1:3" thickTop="1" thickBot="1">
      <c r="A9" s="7" t="s">
        <v>34</v>
      </c>
      <c r="B9" s="7"/>
      <c r="C9" s="7"/>
    </row>
    <row r="10" spans="1:3" thickTop="1" thickBot="1">
      <c r="A10" s="6" t="s">
        <v>33</v>
      </c>
      <c r="B10" s="7"/>
      <c r="C10" s="7"/>
    </row>
    <row r="11" spans="1:3" thickTop="1" thickBot="1">
      <c r="A11" s="6" t="s">
        <v>35</v>
      </c>
      <c r="B11" s="7"/>
      <c r="C11" s="7"/>
    </row>
    <row r="12" spans="1:3" thickTop="1" thickBot="1">
      <c r="A12" s="6" t="s">
        <v>40</v>
      </c>
      <c r="B12" s="7"/>
      <c r="C12" s="7"/>
    </row>
    <row r="13" spans="1:3" thickTop="1" thickBot="1">
      <c r="A13" s="7"/>
      <c r="B13" s="7"/>
      <c r="C13" s="7"/>
    </row>
    <row r="14" spans="1:3" thickTop="1" thickBot="1">
      <c r="A14" s="7" t="s">
        <v>36</v>
      </c>
      <c r="B14" s="7"/>
      <c r="C14" s="7"/>
    </row>
    <row r="15" spans="1:3" thickTop="1" thickBot="1">
      <c r="A15" s="6" t="s">
        <v>37</v>
      </c>
      <c r="B15" s="7"/>
      <c r="C15" s="7"/>
    </row>
    <row r="16" spans="1:3" thickTop="1" thickBot="1">
      <c r="A16" s="6" t="s">
        <v>38</v>
      </c>
      <c r="B16" s="7"/>
      <c r="C16" s="7"/>
    </row>
    <row r="17" spans="1:3" thickTop="1" thickBot="1">
      <c r="A17" s="6" t="s">
        <v>41</v>
      </c>
      <c r="B17" s="7"/>
      <c r="C17" s="7"/>
    </row>
    <row r="18" spans="1:3" thickTop="1" thickBot="1">
      <c r="A18" s="7"/>
      <c r="B18" s="7"/>
      <c r="C18" s="7"/>
    </row>
    <row r="19" spans="1:3" ht="22" thickTop="1" thickBot="1">
      <c r="A19" s="9" t="s">
        <v>44</v>
      </c>
      <c r="B19" s="7"/>
      <c r="C19" s="7"/>
    </row>
    <row r="20" spans="1:3" thickTop="1" thickBot="1">
      <c r="A20" s="7"/>
      <c r="B20" s="7"/>
      <c r="C20" s="7"/>
    </row>
    <row r="21" spans="1:3" ht="18" thickTop="1" thickBot="1">
      <c r="A21" s="10" t="s">
        <v>45</v>
      </c>
      <c r="B21" s="10" t="s">
        <v>46</v>
      </c>
      <c r="C21" s="10" t="s">
        <v>47</v>
      </c>
    </row>
    <row r="22" spans="1:3" thickTop="1" thickBot="1">
      <c r="A22" s="7" t="s">
        <v>48</v>
      </c>
      <c r="B22" s="7">
        <v>552.69000000000005</v>
      </c>
      <c r="C22" s="7" t="s">
        <v>49</v>
      </c>
    </row>
    <row r="23" spans="1:3" thickTop="1" thickBot="1">
      <c r="A23" s="7" t="s">
        <v>50</v>
      </c>
      <c r="B23" s="7" t="s">
        <v>51</v>
      </c>
      <c r="C23" s="7" t="s">
        <v>52</v>
      </c>
    </row>
    <row r="24" spans="1:3" thickTop="1" thickBot="1">
      <c r="A24" s="7" t="s">
        <v>53</v>
      </c>
      <c r="B24" s="7" t="s">
        <v>54</v>
      </c>
      <c r="C24" s="7" t="s">
        <v>55</v>
      </c>
    </row>
    <row r="25" spans="1:3" thickTop="1" thickBot="1">
      <c r="A25" s="7" t="s">
        <v>56</v>
      </c>
      <c r="B25" s="8">
        <v>0.41470000000000001</v>
      </c>
      <c r="C25" s="7" t="s">
        <v>57</v>
      </c>
    </row>
    <row r="26" spans="1:3" thickTop="1" thickBot="1">
      <c r="A26" s="7" t="s">
        <v>58</v>
      </c>
      <c r="B26" s="7">
        <v>19.100000000000001</v>
      </c>
      <c r="C26" s="7" t="s">
        <v>59</v>
      </c>
    </row>
    <row r="27" spans="1:3" thickTop="1" thickBot="1">
      <c r="A27" s="7" t="s">
        <v>60</v>
      </c>
      <c r="B27" s="7">
        <v>0.69599999999999995</v>
      </c>
      <c r="C27" s="7" t="s">
        <v>61</v>
      </c>
    </row>
    <row r="28" spans="1:3" thickTop="1" thickBot="1">
      <c r="A28" s="7" t="s">
        <v>62</v>
      </c>
      <c r="B28" s="8">
        <v>3.5299999999999998E-2</v>
      </c>
      <c r="C28" s="7" t="s">
        <v>63</v>
      </c>
    </row>
    <row r="31" spans="1:3" thickTop="1" thickBot="1">
      <c r="A31" s="5" t="s">
        <v>65</v>
      </c>
    </row>
    <row r="32" spans="1:3" thickTop="1" thickBot="1">
      <c r="A32" s="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Malaria burden Dalys</vt:lpstr>
      <vt:lpstr>period analysis+analysis summar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2025-10-11T18:52:58Z</dcterms:created>
  <dcterms:modified xsi:type="dcterms:W3CDTF">2025-10-12T18:50:40Z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3DD4370FEDE2444C872168CE0C74D615_13</vt:lpwstr>
  </property>
  <property fmtid="{D5CDD505-2E9C-101B-9397-08002B2CF9AE}" pid="3" name="KSOProductBuildVer">
    <vt:lpwstr>1033-12.2.0.19307</vt:lpwstr>
  </property>
</Properties>
</file>